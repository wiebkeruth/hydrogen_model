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Wiebke Günther\Claude\Projects\Diplom\Modell\"/>
    </mc:Choice>
  </mc:AlternateContent>
  <xr:revisionPtr revIDLastSave="0" documentId="13_ncr:1_{64EE7ECA-DEF5-41DC-ADBC-094B18732E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  <sheet name="Parameters" sheetId="2" r:id="rId2"/>
    <sheet name="LCOH_Jahresuebersicht" sheetId="3" r:id="rId3"/>
    <sheet name="LCOH_Jahreskosten" sheetId="4" r:id="rId4"/>
    <sheet name="LCOH_Kosten_Ely_BESS" sheetId="5" r:id="rId5"/>
    <sheet name="LCOH_Inputs" sheetId="6" r:id="rId6"/>
    <sheet name="LCOH_Ergebni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1" l="1"/>
</calcChain>
</file>

<file path=xl/sharedStrings.xml><?xml version="1.0" encoding="utf-8"?>
<sst xmlns="http://schemas.openxmlformats.org/spreadsheetml/2006/main" count="279" uniqueCount="190">
  <si>
    <t>Year</t>
  </si>
  <si>
    <t>FLH_ely</t>
  </si>
  <si>
    <t>FLH_ely_adjusted</t>
  </si>
  <si>
    <t>H2_amount</t>
  </si>
  <si>
    <t>H2_amount_adjusted</t>
  </si>
  <si>
    <t>P_ely_total</t>
  </si>
  <si>
    <t>P_nom_wind</t>
  </si>
  <si>
    <t>P_nom_pv</t>
  </si>
  <si>
    <t>P_nom_bess</t>
  </si>
  <si>
    <t>P_nom_ely</t>
  </si>
  <si>
    <t>cost_ppa</t>
  </si>
  <si>
    <t>cost_da</t>
  </si>
  <si>
    <t>cost_rd</t>
  </si>
  <si>
    <t>revenue_da</t>
  </si>
  <si>
    <t>revenue_h2</t>
  </si>
  <si>
    <t>revenue_total</t>
  </si>
  <si>
    <t>revenue_h2_adjusted</t>
  </si>
  <si>
    <t>revenue_da_adjusted</t>
  </si>
  <si>
    <t>curtailment_da_revenue_expost</t>
  </si>
  <si>
    <t>da_revenue_share_pct</t>
  </si>
  <si>
    <t>total_elec_cost</t>
  </si>
  <si>
    <t>rd_share_pct</t>
  </si>
  <si>
    <t>avg_electricity_costs</t>
  </si>
  <si>
    <t>avg_electricity_costs_revenues</t>
  </si>
  <si>
    <t>avg_buy_price_incl_ppa</t>
  </si>
  <si>
    <t>avg_buy_price_excl_ppa</t>
  </si>
  <si>
    <t>avg_sell_price_da</t>
  </si>
  <si>
    <t>avg_price_ely</t>
  </si>
  <si>
    <t>avg_ppa_cost_incl_curtailment</t>
  </si>
  <si>
    <t>avg_da_price_ppa_to_da</t>
  </si>
  <si>
    <t>avg_da_price_buy</t>
  </si>
  <si>
    <t>avg_da_price_bess_sell</t>
  </si>
  <si>
    <t>avg_rd_reimbursement</t>
  </si>
  <si>
    <t>avg_rd_cost_ppa</t>
  </si>
  <si>
    <t>avg_rd_cost_da</t>
  </si>
  <si>
    <t>avg_rd_cost_total</t>
  </si>
  <si>
    <t>h_below_min_load</t>
  </si>
  <si>
    <t>s_ely_total_MWh</t>
  </si>
  <si>
    <t>H2_lost_total_t</t>
  </si>
  <si>
    <t>correlation_ok</t>
  </si>
  <si>
    <t>correlation_surplus_MWh</t>
  </si>
  <si>
    <t>n_hourly_correlation_violations</t>
  </si>
  <si>
    <t>Profit</t>
  </si>
  <si>
    <t>LCOH</t>
  </si>
  <si>
    <t>converged</t>
  </si>
  <si>
    <t>solver_status</t>
  </si>
  <si>
    <t>optimal</t>
  </si>
  <si>
    <t>solve_time_s</t>
  </si>
  <si>
    <t>NPV_equity_EUR</t>
  </si>
  <si>
    <t>IRR_equity</t>
  </si>
  <si>
    <t>IRR_project</t>
  </si>
  <si>
    <t>LCOH_final</t>
  </si>
  <si>
    <t>LCOH_final_ohne_Gutschrift</t>
  </si>
  <si>
    <t>Config</t>
  </si>
  <si>
    <t>Parameter</t>
  </si>
  <si>
    <t>Wert</t>
  </si>
  <si>
    <t>ely</t>
  </si>
  <si>
    <t>p_nom</t>
  </si>
  <si>
    <t>p_nom_variable</t>
  </si>
  <si>
    <t>p_nom_max</t>
  </si>
  <si>
    <t>lifetime</t>
  </si>
  <si>
    <t>min_load_share</t>
  </si>
  <si>
    <t>c_penalty_min_load</t>
  </si>
  <si>
    <t>power_consumption_10</t>
  </si>
  <si>
    <t>power_consumption_20</t>
  </si>
  <si>
    <t>power_consumption_75</t>
  </si>
  <si>
    <t>power_consumption_100</t>
  </si>
  <si>
    <t>capex</t>
  </si>
  <si>
    <t>opex</t>
  </si>
  <si>
    <t>stack_replacment_cost</t>
  </si>
  <si>
    <t>stack_lifetime</t>
  </si>
  <si>
    <t>min_h2_annual</t>
  </si>
  <si>
    <t>hard_min_load</t>
  </si>
  <si>
    <t>bess</t>
  </si>
  <si>
    <t>c_rate</t>
  </si>
  <si>
    <t>eta_charge</t>
  </si>
  <si>
    <t>eta_discharge</t>
  </si>
  <si>
    <t>soc_initial_share</t>
  </si>
  <si>
    <t>max_cycles_per_year</t>
  </si>
  <si>
    <t>max_cycles_per_day</t>
  </si>
  <si>
    <t>cycle_life</t>
  </si>
  <si>
    <t>replacement_cost_share</t>
  </si>
  <si>
    <t>p_nom_bess_max</t>
  </si>
  <si>
    <t>p_nom_bess_fixed</t>
  </si>
  <si>
    <t>ppa</t>
  </si>
  <si>
    <t>price_wind</t>
  </si>
  <si>
    <t>price_pv</t>
  </si>
  <si>
    <t>p_nom_wind_max</t>
  </si>
  <si>
    <t>p_nom_pv_max</t>
  </si>
  <si>
    <t>p_nom_wind_fixed</t>
  </si>
  <si>
    <t>p_nom_pv_fixed</t>
  </si>
  <si>
    <t>redispatch</t>
  </si>
  <si>
    <t>price_13k</t>
  </si>
  <si>
    <t>price_cap_13k</t>
  </si>
  <si>
    <t>rd_region</t>
  </si>
  <si>
    <t>T2</t>
  </si>
  <si>
    <t>rfnbo</t>
  </si>
  <si>
    <t>rfnbo_threshold</t>
  </si>
  <si>
    <t>eua_price_factor</t>
  </si>
  <si>
    <t>correlation_mode</t>
  </si>
  <si>
    <t>monthly</t>
  </si>
  <si>
    <t>enforce_correlation</t>
  </si>
  <si>
    <t>correlation_ely_only</t>
  </si>
  <si>
    <t>market</t>
  </si>
  <si>
    <t>use_ppa</t>
  </si>
  <si>
    <t>use_bess</t>
  </si>
  <si>
    <t>use_da_buy</t>
  </si>
  <si>
    <t>use_da_sell</t>
  </si>
  <si>
    <t>use_ppa_da_sell</t>
  </si>
  <si>
    <t>use_bess_da_sell</t>
  </si>
  <si>
    <t>use_rd</t>
  </si>
  <si>
    <t>use_curtailment</t>
  </si>
  <si>
    <t>economics</t>
  </si>
  <si>
    <t>share_equity</t>
  </si>
  <si>
    <t>i_equity</t>
  </si>
  <si>
    <t>i_debt</t>
  </si>
  <si>
    <t>i_reserve</t>
  </si>
  <si>
    <t>degradation_rate</t>
  </si>
  <si>
    <t>price_h2</t>
  </si>
  <si>
    <t>trafo_capex</t>
  </si>
  <si>
    <t>inflation_rate</t>
  </si>
  <si>
    <t>sell_curtailment_ex_post</t>
  </si>
  <si>
    <t>run</t>
  </si>
  <si>
    <t>YEAR</t>
  </si>
  <si>
    <t>MODE</t>
  </si>
  <si>
    <t>annual</t>
  </si>
  <si>
    <t>MONTHS</t>
  </si>
  <si>
    <t>[1, 2, 3, 4, 5, 6, 7, 8, 9, 10, 11, 12]</t>
  </si>
  <si>
    <t>Jahr</t>
  </si>
  <si>
    <t>Effizienz [kWh/kg]</t>
  </si>
  <si>
    <t>Produktionsmenge [kg]</t>
  </si>
  <si>
    <t>Stromkosten [EUR]</t>
  </si>
  <si>
    <t>Erloese Strommarkt [EUR]</t>
  </si>
  <si>
    <t>OPEX [EUR]</t>
  </si>
  <si>
    <t>Ersatz Stack [EUR]</t>
  </si>
  <si>
    <t>Ersatz BESS [EUR]</t>
  </si>
  <si>
    <t>Restwert (Gutschrift) [EUR]</t>
  </si>
  <si>
    <t>CAPEX [EUR]</t>
  </si>
  <si>
    <t>Kosten ohne DA-Gutschrift [EUR]</t>
  </si>
  <si>
    <t>Kosten mit DA-Gutschrift [EUR]</t>
  </si>
  <si>
    <t>Diskontfaktor [-]</t>
  </si>
  <si>
    <t>Kosten disk. mit Gutschrift [EUR]</t>
  </si>
  <si>
    <t>Kosten disk. ohne Gutschrift [EUR]</t>
  </si>
  <si>
    <t>Menge diskontiert [kg]</t>
  </si>
  <si>
    <t>Position</t>
  </si>
  <si>
    <t>Jahreskosten [EUR/a]</t>
  </si>
  <si>
    <t>Anteil LCOH [EUR/kg]</t>
  </si>
  <si>
    <t>Menge [kg/a]</t>
  </si>
  <si>
    <t>Kapitalkosten Erstinvestition</t>
  </si>
  <si>
    <t>Ersatz Stack</t>
  </si>
  <si>
    <t>Ersatz BESS</t>
  </si>
  <si>
    <t>Restwert (Gutschrift)</t>
  </si>
  <si>
    <t>Stromkosten</t>
  </si>
  <si>
    <t>OPEX</t>
  </si>
  <si>
    <t>Erloese Strommarkt (Gutschrift)</t>
  </si>
  <si>
    <t>Summe / LCOH</t>
  </si>
  <si>
    <t>Annualisierte H2-Menge [kg/a]</t>
  </si>
  <si>
    <t>CAPEX Elektrolyseur</t>
  </si>
  <si>
    <t>CAPEX BESS</t>
  </si>
  <si>
    <t>CAPEX Netzanschluss</t>
  </si>
  <si>
    <t>CAPEX Trafo</t>
  </si>
  <si>
    <t>CAPEX Netzanschluss + Trafo (gesamt)</t>
  </si>
  <si>
    <t>OPEX Elektrolyseur</t>
  </si>
  <si>
    <t>OPEX BESS</t>
  </si>
  <si>
    <t>Stromkosten (brutto, ohne RD-Gutschrift)</t>
  </si>
  <si>
    <t>RD-Ersparnis (Gutschrift)</t>
  </si>
  <si>
    <t>Einheit</t>
  </si>
  <si>
    <t>EUR</t>
  </si>
  <si>
    <t>CAPEX gesamt</t>
  </si>
  <si>
    <t>Stack-Ersatzkosten (je Wechsel)</t>
  </si>
  <si>
    <t>BESS-Ersatzkosten (je Wechsel)</t>
  </si>
  <si>
    <t>EUR/a</t>
  </si>
  <si>
    <t>Effizienz Jahr 1</t>
  </si>
  <si>
    <t>kWh/kg</t>
  </si>
  <si>
    <t>Degradationsrate</t>
  </si>
  <si>
    <t>-</t>
  </si>
  <si>
    <t>EK-Quote</t>
  </si>
  <si>
    <t>EK-Zinssatz (real)</t>
  </si>
  <si>
    <t>FK-Zinssatz (real)</t>
  </si>
  <si>
    <t>WACC (real, vor Steuern)</t>
  </si>
  <si>
    <t>H2-Preis</t>
  </si>
  <si>
    <t>EUR/kg</t>
  </si>
  <si>
    <t>Stack-Lebensdauer</t>
  </si>
  <si>
    <t>Jahre</t>
  </si>
  <si>
    <t>BESS-Lebensdauer</t>
  </si>
  <si>
    <t>Projektlaufzeit</t>
  </si>
  <si>
    <t>Kennzahl</t>
  </si>
  <si>
    <t>LCOH (Projekt, mit DA-Gutschrift)</t>
  </si>
  <si>
    <t>LCOH (Projekt, ohne DA-Gutschrift)</t>
  </si>
  <si>
    <t>LCOH Gegenprobe Annuitaetendarstellung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</si>
</sst>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24" workbookViewId="0">
      <selection activeCell="F44" sqref="F44"/>
    </sheetView>
  </sheetViews>
  <sheetFormatPr baseColWidth="10" defaultColWidth="9.140625" defaultRowHeight="15" x14ac:dyDescent="0.25"/>
  <cols>
    <col min="1" max="1" width="39" customWidth="1"/>
  </cols>
  <sheetData>
    <row r="1" spans="1:2" x14ac:dyDescent="0.25">
      <c r="B1" t="s">
        <v>0</v>
      </c>
    </row>
    <row r="2" spans="1:2" x14ac:dyDescent="0.25">
      <c r="A2" t="s">
        <v>1</v>
      </c>
      <c r="B2">
        <v>5368.2814449713178</v>
      </c>
    </row>
    <row r="3" spans="1:2" x14ac:dyDescent="0.25">
      <c r="A3" t="s">
        <v>2</v>
      </c>
      <c r="B3">
        <v>5368.2814449713178</v>
      </c>
    </row>
    <row r="4" spans="1:2" x14ac:dyDescent="0.25">
      <c r="A4" t="s">
        <v>3</v>
      </c>
      <c r="B4">
        <v>9960.5310835008822</v>
      </c>
    </row>
    <row r="5" spans="1:2" x14ac:dyDescent="0.25">
      <c r="A5" t="s">
        <v>4</v>
      </c>
      <c r="B5">
        <v>9960.5310835008822</v>
      </c>
    </row>
    <row r="6" spans="1:2" x14ac:dyDescent="0.25">
      <c r="A6" t="s">
        <v>5</v>
      </c>
      <c r="B6">
        <v>536828.14449713181</v>
      </c>
    </row>
    <row r="7" spans="1:2" x14ac:dyDescent="0.25">
      <c r="A7" t="s">
        <v>6</v>
      </c>
      <c r="B7">
        <v>192</v>
      </c>
    </row>
    <row r="8" spans="1:2" x14ac:dyDescent="0.25">
      <c r="A8" t="s">
        <v>7</v>
      </c>
      <c r="B8">
        <v>154.43721481481481</v>
      </c>
    </row>
    <row r="9" spans="1:2" x14ac:dyDescent="0.25">
      <c r="A9" t="s">
        <v>8</v>
      </c>
      <c r="B9">
        <v>10</v>
      </c>
    </row>
    <row r="10" spans="1:2" x14ac:dyDescent="0.25">
      <c r="A10" t="s">
        <v>9</v>
      </c>
      <c r="B10">
        <v>100</v>
      </c>
    </row>
    <row r="11" spans="1:2" x14ac:dyDescent="0.25">
      <c r="A11" t="s">
        <v>10</v>
      </c>
      <c r="B11">
        <v>41825.760387299553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59763.186501005301</v>
      </c>
    </row>
    <row r="16" spans="1:2" x14ac:dyDescent="0.25">
      <c r="A16" t="s">
        <v>15</v>
      </c>
      <c r="B16">
        <v>59763.186501005301</v>
      </c>
    </row>
    <row r="17" spans="1:2" x14ac:dyDescent="0.25">
      <c r="A17" t="s">
        <v>16</v>
      </c>
      <c r="B17">
        <v>59763.186501005293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41825.760387299553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7.7912756281583187E-2</v>
      </c>
    </row>
    <row r="24" spans="1:2" x14ac:dyDescent="0.25">
      <c r="A24" t="s">
        <v>23</v>
      </c>
      <c r="B24">
        <v>7.7912756281583187E-2</v>
      </c>
    </row>
    <row r="25" spans="1:2" x14ac:dyDescent="0.25">
      <c r="A25" t="s">
        <v>24</v>
      </c>
      <c r="B25">
        <v>7.1048851701433366E-2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7.7912756281583187E-2</v>
      </c>
    </row>
    <row r="29" spans="1:2" x14ac:dyDescent="0.25">
      <c r="A29" t="s">
        <v>28</v>
      </c>
      <c r="B29">
        <v>7.1048851701433366E-2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0</v>
      </c>
    </row>
    <row r="33" spans="1:4" x14ac:dyDescent="0.25">
      <c r="A33" t="s">
        <v>32</v>
      </c>
      <c r="B33">
        <v>0</v>
      </c>
    </row>
    <row r="34" spans="1:4" x14ac:dyDescent="0.25">
      <c r="A34" t="s">
        <v>33</v>
      </c>
      <c r="B34">
        <v>0</v>
      </c>
    </row>
    <row r="35" spans="1:4" x14ac:dyDescent="0.25">
      <c r="A35" t="s">
        <v>34</v>
      </c>
      <c r="B35">
        <v>0</v>
      </c>
    </row>
    <row r="36" spans="1:4" x14ac:dyDescent="0.25">
      <c r="A36" t="s">
        <v>35</v>
      </c>
      <c r="B36">
        <v>0</v>
      </c>
    </row>
    <row r="37" spans="1:4" x14ac:dyDescent="0.25">
      <c r="A37" t="s">
        <v>36</v>
      </c>
      <c r="B37">
        <v>0</v>
      </c>
    </row>
    <row r="38" spans="1:4" x14ac:dyDescent="0.25">
      <c r="A38" t="s">
        <v>37</v>
      </c>
      <c r="B38">
        <v>0</v>
      </c>
    </row>
    <row r="39" spans="1:4" x14ac:dyDescent="0.25">
      <c r="A39" t="s">
        <v>38</v>
      </c>
      <c r="B39">
        <v>0</v>
      </c>
    </row>
    <row r="40" spans="1:4" x14ac:dyDescent="0.25">
      <c r="A40" t="s">
        <v>39</v>
      </c>
      <c r="B40" t="b">
        <v>1</v>
      </c>
    </row>
    <row r="41" spans="1:4" x14ac:dyDescent="0.25">
      <c r="A41" t="s">
        <v>40</v>
      </c>
      <c r="B41">
        <v>0</v>
      </c>
    </row>
    <row r="42" spans="1:4" x14ac:dyDescent="0.25">
      <c r="A42" t="s">
        <v>41</v>
      </c>
      <c r="B42">
        <v>0</v>
      </c>
    </row>
    <row r="43" spans="1:4" x14ac:dyDescent="0.25">
      <c r="A43" t="s">
        <v>42</v>
      </c>
      <c r="B43">
        <v>-1209.016949805788</v>
      </c>
    </row>
    <row r="44" spans="1:4" x14ac:dyDescent="0.25">
      <c r="A44" t="s">
        <v>43</v>
      </c>
      <c r="B44">
        <v>6.1213807717349882</v>
      </c>
    </row>
    <row r="45" spans="1:4" x14ac:dyDescent="0.25">
      <c r="A45" t="s">
        <v>44</v>
      </c>
      <c r="B45" t="b">
        <v>1</v>
      </c>
    </row>
    <row r="46" spans="1:4" x14ac:dyDescent="0.25">
      <c r="A46" t="s">
        <v>45</v>
      </c>
      <c r="B46" t="s">
        <v>46</v>
      </c>
    </row>
    <row r="47" spans="1:4" x14ac:dyDescent="0.25">
      <c r="A47" t="s">
        <v>47</v>
      </c>
      <c r="B47">
        <v>1292.960551023483</v>
      </c>
      <c r="D47">
        <f>B47/60</f>
        <v>21.549342517058051</v>
      </c>
    </row>
    <row r="48" spans="1:4" x14ac:dyDescent="0.25">
      <c r="A48" t="s">
        <v>48</v>
      </c>
      <c r="B48">
        <v>-39989310.806311794</v>
      </c>
    </row>
    <row r="49" spans="1:2" x14ac:dyDescent="0.25">
      <c r="A49" t="s">
        <v>49</v>
      </c>
      <c r="B49">
        <v>-0.36364179222645548</v>
      </c>
    </row>
    <row r="50" spans="1:2" x14ac:dyDescent="0.25">
      <c r="A50" t="s">
        <v>50</v>
      </c>
      <c r="B50">
        <v>6.0119851188717459E-3</v>
      </c>
    </row>
    <row r="51" spans="1:2" x14ac:dyDescent="0.25">
      <c r="A51" t="s">
        <v>51</v>
      </c>
      <c r="B51">
        <v>6.4549927448576874</v>
      </c>
    </row>
    <row r="52" spans="1:2" x14ac:dyDescent="0.25">
      <c r="A52" t="s">
        <v>52</v>
      </c>
      <c r="B52">
        <v>6.4549927448576874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4"/>
  <sheetViews>
    <sheetView workbookViewId="0"/>
  </sheetViews>
  <sheetFormatPr baseColWidth="10" defaultColWidth="9.140625" defaultRowHeight="15" x14ac:dyDescent="0.25"/>
  <sheetData>
    <row r="1" spans="1:3" x14ac:dyDescent="0.25">
      <c r="A1" t="s">
        <v>53</v>
      </c>
      <c r="B1" t="s">
        <v>54</v>
      </c>
      <c r="C1" t="s">
        <v>55</v>
      </c>
    </row>
    <row r="2" spans="1:3" x14ac:dyDescent="0.25">
      <c r="A2" t="s">
        <v>56</v>
      </c>
      <c r="B2" t="s">
        <v>57</v>
      </c>
      <c r="C2">
        <v>100</v>
      </c>
    </row>
    <row r="3" spans="1:3" x14ac:dyDescent="0.25">
      <c r="A3" t="s">
        <v>56</v>
      </c>
      <c r="B3" t="s">
        <v>58</v>
      </c>
      <c r="C3" t="b">
        <v>0</v>
      </c>
    </row>
    <row r="4" spans="1:3" x14ac:dyDescent="0.25">
      <c r="A4" t="s">
        <v>56</v>
      </c>
      <c r="B4" t="s">
        <v>59</v>
      </c>
      <c r="C4">
        <v>1000</v>
      </c>
    </row>
    <row r="5" spans="1:3" x14ac:dyDescent="0.25">
      <c r="A5" t="s">
        <v>56</v>
      </c>
      <c r="B5" t="s">
        <v>60</v>
      </c>
      <c r="C5">
        <v>20</v>
      </c>
    </row>
    <row r="6" spans="1:3" x14ac:dyDescent="0.25">
      <c r="A6" t="s">
        <v>56</v>
      </c>
      <c r="B6" t="s">
        <v>61</v>
      </c>
      <c r="C6">
        <v>0.2</v>
      </c>
    </row>
    <row r="7" spans="1:3" x14ac:dyDescent="0.25">
      <c r="A7" t="s">
        <v>56</v>
      </c>
      <c r="B7" t="s">
        <v>62</v>
      </c>
      <c r="C7">
        <v>0.14000000000000001</v>
      </c>
    </row>
    <row r="8" spans="1:3" x14ac:dyDescent="0.25">
      <c r="A8" t="s">
        <v>56</v>
      </c>
      <c r="B8" t="s">
        <v>63</v>
      </c>
      <c r="C8">
        <v>100000</v>
      </c>
    </row>
    <row r="9" spans="1:3" x14ac:dyDescent="0.25">
      <c r="A9" t="s">
        <v>56</v>
      </c>
      <c r="B9" t="s">
        <v>64</v>
      </c>
      <c r="C9">
        <v>58.39</v>
      </c>
    </row>
    <row r="10" spans="1:3" x14ac:dyDescent="0.25">
      <c r="A10" t="s">
        <v>56</v>
      </c>
      <c r="B10" t="s">
        <v>65</v>
      </c>
      <c r="C10">
        <v>53.77</v>
      </c>
    </row>
    <row r="11" spans="1:3" x14ac:dyDescent="0.25">
      <c r="A11" t="s">
        <v>56</v>
      </c>
      <c r="B11" t="s">
        <v>66</v>
      </c>
      <c r="C11">
        <v>54.03</v>
      </c>
    </row>
    <row r="12" spans="1:3" x14ac:dyDescent="0.25">
      <c r="A12" t="s">
        <v>56</v>
      </c>
      <c r="B12" t="s">
        <v>67</v>
      </c>
      <c r="C12">
        <v>1300</v>
      </c>
    </row>
    <row r="13" spans="1:3" x14ac:dyDescent="0.25">
      <c r="A13" t="s">
        <v>56</v>
      </c>
      <c r="B13" t="s">
        <v>68</v>
      </c>
      <c r="C13">
        <v>4.3999999999999997E-2</v>
      </c>
    </row>
    <row r="14" spans="1:3" x14ac:dyDescent="0.25">
      <c r="A14" t="s">
        <v>56</v>
      </c>
      <c r="B14" t="s">
        <v>69</v>
      </c>
      <c r="C14">
        <v>200</v>
      </c>
    </row>
    <row r="15" spans="1:3" x14ac:dyDescent="0.25">
      <c r="A15" t="s">
        <v>56</v>
      </c>
      <c r="B15" t="s">
        <v>70</v>
      </c>
      <c r="C15">
        <v>10</v>
      </c>
    </row>
    <row r="16" spans="1:3" x14ac:dyDescent="0.25">
      <c r="A16" t="s">
        <v>56</v>
      </c>
      <c r="B16" t="s">
        <v>71</v>
      </c>
      <c r="C16">
        <v>0</v>
      </c>
    </row>
    <row r="17" spans="1:3" x14ac:dyDescent="0.25">
      <c r="A17" t="s">
        <v>56</v>
      </c>
      <c r="B17" t="s">
        <v>72</v>
      </c>
      <c r="C17" t="b">
        <v>1</v>
      </c>
    </row>
    <row r="18" spans="1:3" x14ac:dyDescent="0.25">
      <c r="A18" t="s">
        <v>73</v>
      </c>
      <c r="B18" t="s">
        <v>74</v>
      </c>
      <c r="C18">
        <v>0.5</v>
      </c>
    </row>
    <row r="19" spans="1:3" x14ac:dyDescent="0.25">
      <c r="A19" t="s">
        <v>73</v>
      </c>
      <c r="B19" t="s">
        <v>75</v>
      </c>
      <c r="C19">
        <v>0.95</v>
      </c>
    </row>
    <row r="20" spans="1:3" x14ac:dyDescent="0.25">
      <c r="A20" t="s">
        <v>73</v>
      </c>
      <c r="B20" t="s">
        <v>76</v>
      </c>
      <c r="C20">
        <v>0.95</v>
      </c>
    </row>
    <row r="21" spans="1:3" x14ac:dyDescent="0.25">
      <c r="A21" t="s">
        <v>73</v>
      </c>
      <c r="B21" t="s">
        <v>77</v>
      </c>
      <c r="C21">
        <v>0.5</v>
      </c>
    </row>
    <row r="22" spans="1:3" x14ac:dyDescent="0.25">
      <c r="A22" t="s">
        <v>73</v>
      </c>
      <c r="B22" t="s">
        <v>60</v>
      </c>
      <c r="C22">
        <v>13</v>
      </c>
    </row>
    <row r="23" spans="1:3" x14ac:dyDescent="0.25">
      <c r="A23" t="s">
        <v>73</v>
      </c>
      <c r="B23" t="s">
        <v>67</v>
      </c>
      <c r="C23">
        <v>300</v>
      </c>
    </row>
    <row r="24" spans="1:3" x14ac:dyDescent="0.25">
      <c r="A24" t="s">
        <v>73</v>
      </c>
      <c r="B24" t="s">
        <v>68</v>
      </c>
      <c r="C24">
        <v>15</v>
      </c>
    </row>
    <row r="25" spans="1:3" x14ac:dyDescent="0.25">
      <c r="A25" t="s">
        <v>73</v>
      </c>
      <c r="B25" t="s">
        <v>78</v>
      </c>
      <c r="C25">
        <v>700</v>
      </c>
    </row>
    <row r="26" spans="1:3" x14ac:dyDescent="0.25">
      <c r="A26" t="s">
        <v>73</v>
      </c>
      <c r="B26" t="s">
        <v>79</v>
      </c>
      <c r="C26">
        <v>3</v>
      </c>
    </row>
    <row r="27" spans="1:3" x14ac:dyDescent="0.25">
      <c r="A27" t="s">
        <v>73</v>
      </c>
      <c r="B27" t="s">
        <v>80</v>
      </c>
      <c r="C27">
        <v>10000</v>
      </c>
    </row>
    <row r="28" spans="1:3" x14ac:dyDescent="0.25">
      <c r="A28" t="s">
        <v>73</v>
      </c>
      <c r="B28" t="s">
        <v>81</v>
      </c>
      <c r="C28">
        <v>0</v>
      </c>
    </row>
    <row r="29" spans="1:3" x14ac:dyDescent="0.25">
      <c r="A29" t="s">
        <v>73</v>
      </c>
      <c r="B29" t="s">
        <v>82</v>
      </c>
      <c r="C29">
        <v>200</v>
      </c>
    </row>
    <row r="30" spans="1:3" x14ac:dyDescent="0.25">
      <c r="A30" t="s">
        <v>73</v>
      </c>
      <c r="B30" t="s">
        <v>83</v>
      </c>
      <c r="C30">
        <v>10</v>
      </c>
    </row>
    <row r="31" spans="1:3" x14ac:dyDescent="0.25">
      <c r="A31" t="s">
        <v>84</v>
      </c>
      <c r="B31" t="s">
        <v>85</v>
      </c>
      <c r="C31">
        <v>7.5999999999999998E-2</v>
      </c>
    </row>
    <row r="32" spans="1:3" x14ac:dyDescent="0.25">
      <c r="A32" t="s">
        <v>84</v>
      </c>
      <c r="B32" t="s">
        <v>86</v>
      </c>
      <c r="C32">
        <v>0.06</v>
      </c>
    </row>
    <row r="33" spans="1:3" x14ac:dyDescent="0.25">
      <c r="A33" t="s">
        <v>84</v>
      </c>
      <c r="B33" t="s">
        <v>87</v>
      </c>
      <c r="C33">
        <v>192</v>
      </c>
    </row>
    <row r="34" spans="1:3" x14ac:dyDescent="0.25">
      <c r="A34" t="s">
        <v>84</v>
      </c>
      <c r="B34" t="s">
        <v>88</v>
      </c>
      <c r="C34">
        <v>162</v>
      </c>
    </row>
    <row r="35" spans="1:3" x14ac:dyDescent="0.25">
      <c r="A35" t="s">
        <v>84</v>
      </c>
      <c r="B35" t="s">
        <v>89</v>
      </c>
    </row>
    <row r="36" spans="1:3" x14ac:dyDescent="0.25">
      <c r="A36" t="s">
        <v>84</v>
      </c>
      <c r="B36" t="s">
        <v>90</v>
      </c>
    </row>
    <row r="37" spans="1:3" x14ac:dyDescent="0.25">
      <c r="A37" t="s">
        <v>91</v>
      </c>
      <c r="B37" t="s">
        <v>92</v>
      </c>
      <c r="C37">
        <v>2.5000000000000001E-2</v>
      </c>
    </row>
    <row r="38" spans="1:3" x14ac:dyDescent="0.25">
      <c r="A38" t="s">
        <v>91</v>
      </c>
      <c r="B38" t="s">
        <v>93</v>
      </c>
      <c r="C38">
        <v>0.45</v>
      </c>
    </row>
    <row r="39" spans="1:3" x14ac:dyDescent="0.25">
      <c r="A39" t="s">
        <v>91</v>
      </c>
      <c r="B39" t="s">
        <v>94</v>
      </c>
      <c r="C39" t="s">
        <v>95</v>
      </c>
    </row>
    <row r="40" spans="1:3" x14ac:dyDescent="0.25">
      <c r="A40" t="s">
        <v>96</v>
      </c>
      <c r="B40" t="s">
        <v>97</v>
      </c>
      <c r="C40">
        <v>0.02</v>
      </c>
    </row>
    <row r="41" spans="1:3" x14ac:dyDescent="0.25">
      <c r="A41" t="s">
        <v>96</v>
      </c>
      <c r="B41" t="s">
        <v>98</v>
      </c>
      <c r="C41">
        <v>0.36</v>
      </c>
    </row>
    <row r="42" spans="1:3" x14ac:dyDescent="0.25">
      <c r="A42" t="s">
        <v>96</v>
      </c>
      <c r="B42" t="s">
        <v>99</v>
      </c>
      <c r="C42" t="s">
        <v>100</v>
      </c>
    </row>
    <row r="43" spans="1:3" x14ac:dyDescent="0.25">
      <c r="A43" t="s">
        <v>96</v>
      </c>
      <c r="B43" t="s">
        <v>101</v>
      </c>
      <c r="C43" t="b">
        <v>1</v>
      </c>
    </row>
    <row r="44" spans="1:3" x14ac:dyDescent="0.25">
      <c r="A44" t="s">
        <v>96</v>
      </c>
      <c r="B44" t="s">
        <v>102</v>
      </c>
      <c r="C44" t="b">
        <v>0</v>
      </c>
    </row>
    <row r="45" spans="1:3" x14ac:dyDescent="0.25">
      <c r="A45" t="s">
        <v>103</v>
      </c>
      <c r="B45" t="s">
        <v>104</v>
      </c>
      <c r="C45" t="b">
        <v>1</v>
      </c>
    </row>
    <row r="46" spans="1:3" x14ac:dyDescent="0.25">
      <c r="A46" t="s">
        <v>103</v>
      </c>
      <c r="B46" t="s">
        <v>105</v>
      </c>
      <c r="C46" t="b">
        <v>1</v>
      </c>
    </row>
    <row r="47" spans="1:3" x14ac:dyDescent="0.25">
      <c r="A47" t="s">
        <v>103</v>
      </c>
      <c r="B47" t="s">
        <v>106</v>
      </c>
      <c r="C47" t="b">
        <v>0</v>
      </c>
    </row>
    <row r="48" spans="1:3" x14ac:dyDescent="0.25">
      <c r="A48" t="s">
        <v>103</v>
      </c>
      <c r="B48" t="s">
        <v>107</v>
      </c>
      <c r="C48" t="b">
        <v>0</v>
      </c>
    </row>
    <row r="49" spans="1:3" x14ac:dyDescent="0.25">
      <c r="A49" t="s">
        <v>103</v>
      </c>
      <c r="B49" t="s">
        <v>108</v>
      </c>
      <c r="C49" t="b">
        <v>0</v>
      </c>
    </row>
    <row r="50" spans="1:3" x14ac:dyDescent="0.25">
      <c r="A50" t="s">
        <v>103</v>
      </c>
      <c r="B50" t="s">
        <v>109</v>
      </c>
      <c r="C50" t="b">
        <v>0</v>
      </c>
    </row>
    <row r="51" spans="1:3" x14ac:dyDescent="0.25">
      <c r="A51" t="s">
        <v>103</v>
      </c>
      <c r="B51" t="s">
        <v>110</v>
      </c>
      <c r="C51" t="b">
        <v>0</v>
      </c>
    </row>
    <row r="52" spans="1:3" x14ac:dyDescent="0.25">
      <c r="A52" t="s">
        <v>103</v>
      </c>
      <c r="B52" t="s">
        <v>111</v>
      </c>
      <c r="C52" t="b">
        <v>1</v>
      </c>
    </row>
    <row r="53" spans="1:3" x14ac:dyDescent="0.25">
      <c r="A53" t="s">
        <v>112</v>
      </c>
      <c r="B53" t="s">
        <v>113</v>
      </c>
      <c r="C53">
        <v>0.2</v>
      </c>
    </row>
    <row r="54" spans="1:3" x14ac:dyDescent="0.25">
      <c r="A54" t="s">
        <v>112</v>
      </c>
      <c r="B54" t="s">
        <v>114</v>
      </c>
      <c r="C54">
        <v>0.12</v>
      </c>
    </row>
    <row r="55" spans="1:3" x14ac:dyDescent="0.25">
      <c r="A55" t="s">
        <v>112</v>
      </c>
      <c r="B55" t="s">
        <v>115</v>
      </c>
      <c r="C55">
        <v>0.06</v>
      </c>
    </row>
    <row r="56" spans="1:3" x14ac:dyDescent="0.25">
      <c r="A56" t="s">
        <v>112</v>
      </c>
      <c r="B56" t="s">
        <v>116</v>
      </c>
      <c r="C56">
        <v>0.02</v>
      </c>
    </row>
    <row r="57" spans="1:3" x14ac:dyDescent="0.25">
      <c r="A57" t="s">
        <v>112</v>
      </c>
      <c r="B57" t="s">
        <v>117</v>
      </c>
      <c r="C57">
        <v>0.01</v>
      </c>
    </row>
    <row r="58" spans="1:3" x14ac:dyDescent="0.25">
      <c r="A58" t="s">
        <v>112</v>
      </c>
      <c r="B58" t="s">
        <v>118</v>
      </c>
      <c r="C58">
        <v>6</v>
      </c>
    </row>
    <row r="59" spans="1:3" x14ac:dyDescent="0.25">
      <c r="A59" t="s">
        <v>112</v>
      </c>
      <c r="B59" t="s">
        <v>119</v>
      </c>
      <c r="C59">
        <v>0</v>
      </c>
    </row>
    <row r="60" spans="1:3" x14ac:dyDescent="0.25">
      <c r="A60" t="s">
        <v>112</v>
      </c>
      <c r="B60" t="s">
        <v>120</v>
      </c>
      <c r="C60">
        <v>0.02</v>
      </c>
    </row>
    <row r="61" spans="1:3" x14ac:dyDescent="0.25">
      <c r="A61" t="s">
        <v>112</v>
      </c>
      <c r="B61" t="s">
        <v>121</v>
      </c>
      <c r="C61" t="b">
        <v>0</v>
      </c>
    </row>
    <row r="62" spans="1:3" x14ac:dyDescent="0.25">
      <c r="A62" t="s">
        <v>122</v>
      </c>
      <c r="B62" t="s">
        <v>123</v>
      </c>
      <c r="C62">
        <v>2025</v>
      </c>
    </row>
    <row r="63" spans="1:3" x14ac:dyDescent="0.25">
      <c r="A63" t="s">
        <v>122</v>
      </c>
      <c r="B63" t="s">
        <v>124</v>
      </c>
      <c r="C63" t="s">
        <v>125</v>
      </c>
    </row>
    <row r="64" spans="1:3" x14ac:dyDescent="0.25">
      <c r="A64" t="s">
        <v>122</v>
      </c>
      <c r="B64" t="s">
        <v>126</v>
      </c>
      <c r="C64" t="s">
        <v>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/>
  </sheetViews>
  <sheetFormatPr baseColWidth="10" defaultColWidth="9.140625" defaultRowHeight="15" x14ac:dyDescent="0.25"/>
  <sheetData>
    <row r="1" spans="1:16" x14ac:dyDescent="0.25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</row>
    <row r="2" spans="1:16" x14ac:dyDescent="0.25">
      <c r="A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137703820</v>
      </c>
      <c r="K2">
        <v>137703820</v>
      </c>
      <c r="L2">
        <v>137703820</v>
      </c>
      <c r="M2">
        <v>1</v>
      </c>
      <c r="N2">
        <v>137703820</v>
      </c>
      <c r="O2">
        <v>137703820</v>
      </c>
      <c r="P2">
        <v>0</v>
      </c>
    </row>
    <row r="3" spans="1:16" x14ac:dyDescent="0.25">
      <c r="A3">
        <v>1</v>
      </c>
      <c r="B3">
        <v>53.89553428394602</v>
      </c>
      <c r="C3">
        <v>9960531.0835008826</v>
      </c>
      <c r="D3">
        <v>41825760.387299553</v>
      </c>
      <c r="E3">
        <v>0</v>
      </c>
      <c r="F3">
        <v>5870000</v>
      </c>
      <c r="G3">
        <v>0</v>
      </c>
      <c r="H3">
        <v>0</v>
      </c>
      <c r="I3">
        <v>0</v>
      </c>
      <c r="J3">
        <v>0</v>
      </c>
      <c r="K3">
        <v>47695760.387299553</v>
      </c>
      <c r="L3">
        <v>47695760.387299553</v>
      </c>
      <c r="M3">
        <v>0.93283582089552231</v>
      </c>
      <c r="N3">
        <v>44492313.794122711</v>
      </c>
      <c r="O3">
        <v>44492313.794122711</v>
      </c>
      <c r="P3">
        <v>9291540.1898329128</v>
      </c>
    </row>
    <row r="4" spans="1:16" x14ac:dyDescent="0.25">
      <c r="A4">
        <v>2</v>
      </c>
      <c r="B4">
        <v>54.434489626785478</v>
      </c>
      <c r="C4">
        <v>9861911.9638622608</v>
      </c>
      <c r="D4">
        <v>41825760.387299553</v>
      </c>
      <c r="E4">
        <v>0</v>
      </c>
      <c r="F4">
        <v>5870000</v>
      </c>
      <c r="G4">
        <v>0</v>
      </c>
      <c r="H4">
        <v>0</v>
      </c>
      <c r="I4">
        <v>0</v>
      </c>
      <c r="J4">
        <v>0</v>
      </c>
      <c r="K4">
        <v>47695760.387299553</v>
      </c>
      <c r="L4">
        <v>47695760.387299553</v>
      </c>
      <c r="M4">
        <v>0.87018266874582295</v>
      </c>
      <c r="N4">
        <v>41504024.061681628</v>
      </c>
      <c r="O4">
        <v>41504024.061681628</v>
      </c>
      <c r="P4">
        <v>8581664.8716500215</v>
      </c>
    </row>
    <row r="5" spans="1:16" x14ac:dyDescent="0.25">
      <c r="A5">
        <v>3</v>
      </c>
      <c r="B5">
        <v>54.978834523053337</v>
      </c>
      <c r="C5">
        <v>9764269.2711507529</v>
      </c>
      <c r="D5">
        <v>41825760.387299553</v>
      </c>
      <c r="E5">
        <v>0</v>
      </c>
      <c r="F5">
        <v>5870000</v>
      </c>
      <c r="G5">
        <v>0</v>
      </c>
      <c r="H5">
        <v>0</v>
      </c>
      <c r="I5">
        <v>0</v>
      </c>
      <c r="J5">
        <v>0</v>
      </c>
      <c r="K5">
        <v>47695760.387299553</v>
      </c>
      <c r="L5">
        <v>47695760.387299553</v>
      </c>
      <c r="M5">
        <v>0.81173756412856624</v>
      </c>
      <c r="N5">
        <v>38716440.356046297</v>
      </c>
      <c r="O5">
        <v>38716440.356046297</v>
      </c>
      <c r="P5">
        <v>7926024.1536593232</v>
      </c>
    </row>
    <row r="6" spans="1:16" x14ac:dyDescent="0.25">
      <c r="A6">
        <v>4</v>
      </c>
      <c r="B6">
        <v>55.528622868283882</v>
      </c>
      <c r="C6">
        <v>9667593.3377730213</v>
      </c>
      <c r="D6">
        <v>41825760.387299553</v>
      </c>
      <c r="E6">
        <v>0</v>
      </c>
      <c r="F6">
        <v>5870000</v>
      </c>
      <c r="G6">
        <v>0</v>
      </c>
      <c r="H6">
        <v>0</v>
      </c>
      <c r="I6">
        <v>0</v>
      </c>
      <c r="J6">
        <v>0</v>
      </c>
      <c r="K6">
        <v>47695760.387299553</v>
      </c>
      <c r="L6">
        <v>47695760.387299553</v>
      </c>
      <c r="M6">
        <v>0.75721787698560272</v>
      </c>
      <c r="N6">
        <v>36116082.421684973</v>
      </c>
      <c r="O6">
        <v>36116082.421684973</v>
      </c>
      <c r="P6">
        <v>7320474.5027886443</v>
      </c>
    </row>
    <row r="7" spans="1:16" x14ac:dyDescent="0.25">
      <c r="A7">
        <v>5</v>
      </c>
      <c r="B7">
        <v>56.083909096966707</v>
      </c>
      <c r="C7">
        <v>9571874.5918544773</v>
      </c>
      <c r="D7">
        <v>41825760.387299553</v>
      </c>
      <c r="E7">
        <v>0</v>
      </c>
      <c r="F7">
        <v>5870000</v>
      </c>
      <c r="G7">
        <v>0</v>
      </c>
      <c r="H7">
        <v>0</v>
      </c>
      <c r="I7">
        <v>0</v>
      </c>
      <c r="J7">
        <v>0</v>
      </c>
      <c r="K7">
        <v>47695760.387299553</v>
      </c>
      <c r="L7">
        <v>47695760.387299553</v>
      </c>
      <c r="M7">
        <v>0.70635995987462941</v>
      </c>
      <c r="N7">
        <v>33690375.39336285</v>
      </c>
      <c r="O7">
        <v>33690375.39336285</v>
      </c>
      <c r="P7">
        <v>6761188.9526273133</v>
      </c>
    </row>
    <row r="8" spans="1:16" x14ac:dyDescent="0.25">
      <c r="A8">
        <v>6</v>
      </c>
      <c r="B8">
        <v>56.644748187936379</v>
      </c>
      <c r="C8">
        <v>9477103.5562915616</v>
      </c>
      <c r="D8">
        <v>41825760.387299553</v>
      </c>
      <c r="E8">
        <v>0</v>
      </c>
      <c r="F8">
        <v>5870000</v>
      </c>
      <c r="G8">
        <v>0</v>
      </c>
      <c r="H8">
        <v>0</v>
      </c>
      <c r="I8">
        <v>0</v>
      </c>
      <c r="J8">
        <v>0</v>
      </c>
      <c r="K8">
        <v>47695760.387299553</v>
      </c>
      <c r="L8">
        <v>47695760.387299553</v>
      </c>
      <c r="M8">
        <v>0.65891787301737803</v>
      </c>
      <c r="N8">
        <v>31427588.986345939</v>
      </c>
      <c r="O8">
        <v>31427588.986345939</v>
      </c>
      <c r="P8">
        <v>6244632.9176770654</v>
      </c>
    </row>
    <row r="9" spans="1:16" x14ac:dyDescent="0.25">
      <c r="A9">
        <v>7</v>
      </c>
      <c r="B9">
        <v>57.211195669815737</v>
      </c>
      <c r="C9">
        <v>9383270.8478134274</v>
      </c>
      <c r="D9">
        <v>41825760.387299553</v>
      </c>
      <c r="E9">
        <v>0</v>
      </c>
      <c r="F9">
        <v>5870000</v>
      </c>
      <c r="G9">
        <v>0</v>
      </c>
      <c r="H9">
        <v>0</v>
      </c>
      <c r="I9">
        <v>0</v>
      </c>
      <c r="J9">
        <v>0</v>
      </c>
      <c r="K9">
        <v>47695760.387299553</v>
      </c>
      <c r="L9">
        <v>47695760.387299553</v>
      </c>
      <c r="M9">
        <v>0.6146621949788974</v>
      </c>
      <c r="N9">
        <v>29316780.770845089</v>
      </c>
      <c r="O9">
        <v>29316780.770845089</v>
      </c>
      <c r="P9">
        <v>5767541.8553985013</v>
      </c>
    </row>
    <row r="10" spans="1:16" x14ac:dyDescent="0.25">
      <c r="A10">
        <v>8</v>
      </c>
      <c r="B10">
        <v>57.783307626513903</v>
      </c>
      <c r="C10">
        <v>9290367.1760528982</v>
      </c>
      <c r="D10">
        <v>41825760.387299553</v>
      </c>
      <c r="E10">
        <v>0</v>
      </c>
      <c r="F10">
        <v>5870000</v>
      </c>
      <c r="G10">
        <v>0</v>
      </c>
      <c r="H10">
        <v>0</v>
      </c>
      <c r="I10">
        <v>0</v>
      </c>
      <c r="J10">
        <v>0</v>
      </c>
      <c r="K10">
        <v>47695760.387299553</v>
      </c>
      <c r="L10">
        <v>47695760.387299553</v>
      </c>
      <c r="M10">
        <v>0.57337891322658341</v>
      </c>
      <c r="N10">
        <v>27347743.256385349</v>
      </c>
      <c r="O10">
        <v>27347743.256385349</v>
      </c>
      <c r="P10">
        <v>5326900.6348811332</v>
      </c>
    </row>
    <row r="11" spans="1:16" x14ac:dyDescent="0.25">
      <c r="A11">
        <v>9</v>
      </c>
      <c r="B11">
        <v>58.361140702779039</v>
      </c>
      <c r="C11">
        <v>9198383.3426266313</v>
      </c>
      <c r="D11">
        <v>41825760.387299553</v>
      </c>
      <c r="E11">
        <v>0</v>
      </c>
      <c r="F11">
        <v>5870000</v>
      </c>
      <c r="G11">
        <v>0</v>
      </c>
      <c r="H11">
        <v>0</v>
      </c>
      <c r="I11">
        <v>0</v>
      </c>
      <c r="J11">
        <v>0</v>
      </c>
      <c r="K11">
        <v>47695760.387299553</v>
      </c>
      <c r="L11">
        <v>47695760.387299553</v>
      </c>
      <c r="M11">
        <v>0.53486838920390234</v>
      </c>
      <c r="N11">
        <v>25510954.530210201</v>
      </c>
      <c r="O11">
        <v>25510954.530210201</v>
      </c>
      <c r="P11">
        <v>4919924.4817507127</v>
      </c>
    </row>
    <row r="12" spans="1:16" x14ac:dyDescent="0.25">
      <c r="A12">
        <v>10</v>
      </c>
      <c r="B12">
        <v>58.944752109806821</v>
      </c>
      <c r="C12">
        <v>9107310.2402243894</v>
      </c>
      <c r="D12">
        <v>41825760.387299553</v>
      </c>
      <c r="E12">
        <v>0</v>
      </c>
      <c r="F12">
        <v>5870000</v>
      </c>
      <c r="G12">
        <v>20000000</v>
      </c>
      <c r="H12">
        <v>0</v>
      </c>
      <c r="I12">
        <v>0</v>
      </c>
      <c r="J12">
        <v>0</v>
      </c>
      <c r="K12">
        <v>67695760.387299553</v>
      </c>
      <c r="L12">
        <v>67695760.387299553</v>
      </c>
      <c r="M12">
        <v>0.4989443929140881</v>
      </c>
      <c r="N12">
        <v>33776420.069298752</v>
      </c>
      <c r="O12">
        <v>33776420.069298752</v>
      </c>
      <c r="P12">
        <v>4544041.3788890159</v>
      </c>
    </row>
    <row r="13" spans="1:16" x14ac:dyDescent="0.25">
      <c r="A13">
        <v>11</v>
      </c>
      <c r="B13">
        <v>53.89553428394602</v>
      </c>
      <c r="C13">
        <v>9960531.0835008826</v>
      </c>
      <c r="D13">
        <v>41825760.387299553</v>
      </c>
      <c r="E13">
        <v>0</v>
      </c>
      <c r="F13">
        <v>5870000</v>
      </c>
      <c r="G13">
        <v>0</v>
      </c>
      <c r="H13">
        <v>0</v>
      </c>
      <c r="I13">
        <v>0</v>
      </c>
      <c r="J13">
        <v>0</v>
      </c>
      <c r="K13">
        <v>47695760.387299553</v>
      </c>
      <c r="L13">
        <v>47695760.387299553</v>
      </c>
      <c r="M13">
        <v>0.46543320234523139</v>
      </c>
      <c r="N13">
        <v>22199190.495351661</v>
      </c>
      <c r="O13">
        <v>22199190.495351661</v>
      </c>
      <c r="P13">
        <v>4635961.8792530335</v>
      </c>
    </row>
    <row r="14" spans="1:16" x14ac:dyDescent="0.25">
      <c r="A14">
        <v>12</v>
      </c>
      <c r="B14">
        <v>54.434489626785478</v>
      </c>
      <c r="C14">
        <v>9861911.9638622608</v>
      </c>
      <c r="D14">
        <v>41825760.387299553</v>
      </c>
      <c r="E14">
        <v>0</v>
      </c>
      <c r="F14">
        <v>5870000</v>
      </c>
      <c r="G14">
        <v>0</v>
      </c>
      <c r="H14">
        <v>0</v>
      </c>
      <c r="I14">
        <v>0</v>
      </c>
      <c r="J14">
        <v>0</v>
      </c>
      <c r="K14">
        <v>47695760.387299553</v>
      </c>
      <c r="L14">
        <v>47695760.387299553</v>
      </c>
      <c r="M14">
        <v>0.43417276338174571</v>
      </c>
      <c r="N14">
        <v>20708200.088947449</v>
      </c>
      <c r="O14">
        <v>20708200.088947449</v>
      </c>
      <c r="P14">
        <v>4281773.5695775757</v>
      </c>
    </row>
    <row r="15" spans="1:16" x14ac:dyDescent="0.25">
      <c r="A15">
        <v>13</v>
      </c>
      <c r="B15">
        <v>54.978834523053337</v>
      </c>
      <c r="C15">
        <v>9764269.2711507529</v>
      </c>
      <c r="D15">
        <v>41825760.387299553</v>
      </c>
      <c r="E15">
        <v>0</v>
      </c>
      <c r="F15">
        <v>5870000</v>
      </c>
      <c r="G15">
        <v>0</v>
      </c>
      <c r="H15">
        <v>0</v>
      </c>
      <c r="I15">
        <v>0</v>
      </c>
      <c r="J15">
        <v>0</v>
      </c>
      <c r="K15">
        <v>47695760.387299553</v>
      </c>
      <c r="L15">
        <v>47695760.387299553</v>
      </c>
      <c r="M15">
        <v>0.40501190613968813</v>
      </c>
      <c r="N15">
        <v>19317350.829242021</v>
      </c>
      <c r="O15">
        <v>19317350.829242021</v>
      </c>
      <c r="P15">
        <v>3954645.3095699488</v>
      </c>
    </row>
    <row r="16" spans="1:16" x14ac:dyDescent="0.25">
      <c r="A16">
        <v>14</v>
      </c>
      <c r="B16">
        <v>55.528622868283882</v>
      </c>
      <c r="C16">
        <v>9667593.3377730213</v>
      </c>
      <c r="D16">
        <v>41825760.387299553</v>
      </c>
      <c r="E16">
        <v>0</v>
      </c>
      <c r="F16">
        <v>5870000</v>
      </c>
      <c r="G16">
        <v>0</v>
      </c>
      <c r="H16">
        <v>0</v>
      </c>
      <c r="I16">
        <v>0</v>
      </c>
      <c r="J16">
        <v>0</v>
      </c>
      <c r="K16">
        <v>47695760.387299553</v>
      </c>
      <c r="L16">
        <v>47695760.387299553</v>
      </c>
      <c r="M16">
        <v>0.37780961393627621</v>
      </c>
      <c r="N16">
        <v>18019916.818322781</v>
      </c>
      <c r="O16">
        <v>18019916.818322781</v>
      </c>
      <c r="P16">
        <v>3652509.7066369411</v>
      </c>
    </row>
    <row r="17" spans="1:16" x14ac:dyDescent="0.25">
      <c r="A17">
        <v>15</v>
      </c>
      <c r="B17">
        <v>56.083909096966707</v>
      </c>
      <c r="C17">
        <v>9571874.5918544773</v>
      </c>
      <c r="D17">
        <v>41825760.387299553</v>
      </c>
      <c r="E17">
        <v>0</v>
      </c>
      <c r="F17">
        <v>5870000</v>
      </c>
      <c r="G17">
        <v>0</v>
      </c>
      <c r="H17">
        <v>0</v>
      </c>
      <c r="I17">
        <v>0</v>
      </c>
      <c r="J17">
        <v>0</v>
      </c>
      <c r="K17">
        <v>47695760.387299553</v>
      </c>
      <c r="L17">
        <v>47695760.387299553</v>
      </c>
      <c r="M17">
        <v>0.35243434135846657</v>
      </c>
      <c r="N17">
        <v>16809623.89768916</v>
      </c>
      <c r="O17">
        <v>16809623.89768916</v>
      </c>
      <c r="P17">
        <v>3373457.3173460742</v>
      </c>
    </row>
    <row r="18" spans="1:16" x14ac:dyDescent="0.25">
      <c r="A18">
        <v>16</v>
      </c>
      <c r="B18">
        <v>56.644748187936379</v>
      </c>
      <c r="C18">
        <v>9477103.5562915616</v>
      </c>
      <c r="D18">
        <v>41825760.387299553</v>
      </c>
      <c r="E18">
        <v>0</v>
      </c>
      <c r="F18">
        <v>5870000</v>
      </c>
      <c r="G18">
        <v>0</v>
      </c>
      <c r="H18">
        <v>0</v>
      </c>
      <c r="I18">
        <v>0</v>
      </c>
      <c r="J18">
        <v>0</v>
      </c>
      <c r="K18">
        <v>47695760.387299553</v>
      </c>
      <c r="L18">
        <v>47695760.387299553</v>
      </c>
      <c r="M18">
        <v>0.32876337813289791</v>
      </c>
      <c r="N18">
        <v>15680619.30754585</v>
      </c>
      <c r="O18">
        <v>15680619.30754585</v>
      </c>
      <c r="P18">
        <v>3115724.5800817139</v>
      </c>
    </row>
    <row r="19" spans="1:16" x14ac:dyDescent="0.25">
      <c r="A19">
        <v>17</v>
      </c>
      <c r="B19">
        <v>57.211195669815737</v>
      </c>
      <c r="C19">
        <v>9383270.8478134274</v>
      </c>
      <c r="D19">
        <v>41825760.387299553</v>
      </c>
      <c r="E19">
        <v>0</v>
      </c>
      <c r="F19">
        <v>5870000</v>
      </c>
      <c r="G19">
        <v>0</v>
      </c>
      <c r="H19">
        <v>0</v>
      </c>
      <c r="I19">
        <v>0</v>
      </c>
      <c r="J19">
        <v>0</v>
      </c>
      <c r="K19">
        <v>47695760.387299553</v>
      </c>
      <c r="L19">
        <v>47695760.387299553</v>
      </c>
      <c r="M19">
        <v>0.30668225572098678</v>
      </c>
      <c r="N19">
        <v>14627443.38390471</v>
      </c>
      <c r="O19">
        <v>14627443.38390471</v>
      </c>
      <c r="P19">
        <v>2877682.6696483982</v>
      </c>
    </row>
    <row r="20" spans="1:16" x14ac:dyDescent="0.25">
      <c r="A20">
        <v>18</v>
      </c>
      <c r="B20">
        <v>57.783307626513903</v>
      </c>
      <c r="C20">
        <v>9290367.1760528982</v>
      </c>
      <c r="D20">
        <v>41825760.387299553</v>
      </c>
      <c r="E20">
        <v>0</v>
      </c>
      <c r="F20">
        <v>5870000</v>
      </c>
      <c r="G20">
        <v>0</v>
      </c>
      <c r="H20">
        <v>0</v>
      </c>
      <c r="I20">
        <v>0</v>
      </c>
      <c r="J20">
        <v>0</v>
      </c>
      <c r="K20">
        <v>47695760.387299553</v>
      </c>
      <c r="L20">
        <v>47695760.387299553</v>
      </c>
      <c r="M20">
        <v>0.28608419376957722</v>
      </c>
      <c r="N20">
        <v>13645003.15662753</v>
      </c>
      <c r="O20">
        <v>13645003.15662753</v>
      </c>
      <c r="P20">
        <v>2657827.2033844371</v>
      </c>
    </row>
    <row r="21" spans="1:16" x14ac:dyDescent="0.25">
      <c r="A21">
        <v>19</v>
      </c>
      <c r="B21">
        <v>58.361140702779039</v>
      </c>
      <c r="C21">
        <v>9198383.3426266313</v>
      </c>
      <c r="D21">
        <v>41825760.387299553</v>
      </c>
      <c r="E21">
        <v>0</v>
      </c>
      <c r="F21">
        <v>5870000</v>
      </c>
      <c r="G21">
        <v>0</v>
      </c>
      <c r="H21">
        <v>0</v>
      </c>
      <c r="I21">
        <v>0</v>
      </c>
      <c r="J21">
        <v>0</v>
      </c>
      <c r="K21">
        <v>47695760.387299553</v>
      </c>
      <c r="L21">
        <v>47695760.387299553</v>
      </c>
      <c r="M21">
        <v>0.26686958374027719</v>
      </c>
      <c r="N21">
        <v>12728547.720734639</v>
      </c>
      <c r="O21">
        <v>12728547.720734639</v>
      </c>
      <c r="P21">
        <v>2454768.7337302691</v>
      </c>
    </row>
    <row r="22" spans="1:16" x14ac:dyDescent="0.25">
      <c r="A22">
        <v>20</v>
      </c>
      <c r="B22">
        <v>58.944752109806821</v>
      </c>
      <c r="C22">
        <v>9107310.2402243894</v>
      </c>
      <c r="D22">
        <v>41825760.387299553</v>
      </c>
      <c r="E22">
        <v>0</v>
      </c>
      <c r="F22">
        <v>5870000</v>
      </c>
      <c r="G22">
        <v>0</v>
      </c>
      <c r="H22">
        <v>0</v>
      </c>
      <c r="I22">
        <v>0</v>
      </c>
      <c r="J22">
        <v>0</v>
      </c>
      <c r="K22">
        <v>47695760.387299553</v>
      </c>
      <c r="L22">
        <v>47695760.387299553</v>
      </c>
      <c r="M22">
        <v>0.2489455072204079</v>
      </c>
      <c r="N22">
        <v>11873645.261879319</v>
      </c>
      <c r="O22">
        <v>11873645.261879319</v>
      </c>
      <c r="P22">
        <v>2267223.9671662762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/>
  </sheetViews>
  <sheetFormatPr baseColWidth="10" defaultColWidth="9.140625" defaultRowHeight="15" x14ac:dyDescent="0.25"/>
  <sheetData>
    <row r="1" spans="1:4" x14ac:dyDescent="0.25">
      <c r="A1" t="s">
        <v>144</v>
      </c>
      <c r="B1" t="s">
        <v>145</v>
      </c>
      <c r="C1" t="s">
        <v>146</v>
      </c>
      <c r="D1" t="s">
        <v>147</v>
      </c>
    </row>
    <row r="2" spans="1:4" x14ac:dyDescent="0.25">
      <c r="A2" t="s">
        <v>148</v>
      </c>
      <c r="B2">
        <v>13201006.232326221</v>
      </c>
      <c r="C2">
        <v>1.3776511324798479</v>
      </c>
    </row>
    <row r="3" spans="1:4" x14ac:dyDescent="0.25">
      <c r="A3" t="s">
        <v>149</v>
      </c>
      <c r="B3">
        <v>956628.22432131472</v>
      </c>
      <c r="C3">
        <v>9.9833295538578906E-2</v>
      </c>
    </row>
    <row r="4" spans="1:4" x14ac:dyDescent="0.25">
      <c r="A4" t="s">
        <v>150</v>
      </c>
      <c r="B4">
        <v>0</v>
      </c>
      <c r="C4">
        <v>0</v>
      </c>
    </row>
    <row r="5" spans="1:4" x14ac:dyDescent="0.25">
      <c r="A5" t="s">
        <v>151</v>
      </c>
      <c r="B5">
        <v>0</v>
      </c>
      <c r="C5">
        <v>0</v>
      </c>
    </row>
    <row r="6" spans="1:4" x14ac:dyDescent="0.25">
      <c r="A6" t="s">
        <v>152</v>
      </c>
      <c r="B6">
        <v>41825760.38729953</v>
      </c>
      <c r="C6">
        <v>4.3649177305357743</v>
      </c>
    </row>
    <row r="7" spans="1:4" x14ac:dyDescent="0.25">
      <c r="A7" t="s">
        <v>153</v>
      </c>
      <c r="B7">
        <v>5869999.9999999944</v>
      </c>
      <c r="C7">
        <v>0.61259058630348673</v>
      </c>
    </row>
    <row r="8" spans="1:4" x14ac:dyDescent="0.25">
      <c r="A8" t="s">
        <v>154</v>
      </c>
      <c r="B8">
        <v>0</v>
      </c>
      <c r="C8">
        <v>0</v>
      </c>
    </row>
    <row r="9" spans="1:4" x14ac:dyDescent="0.25">
      <c r="A9" t="s">
        <v>155</v>
      </c>
      <c r="B9">
        <v>61853394.843947053</v>
      </c>
      <c r="C9">
        <v>6.4549927448576874</v>
      </c>
    </row>
    <row r="10" spans="1:4" x14ac:dyDescent="0.25">
      <c r="A10" t="s">
        <v>156</v>
      </c>
      <c r="D10">
        <v>9582256.2919566426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workbookViewId="0"/>
  </sheetViews>
  <sheetFormatPr baseColWidth="10" defaultColWidth="9.140625" defaultRowHeight="15" x14ac:dyDescent="0.25"/>
  <sheetData>
    <row r="1" spans="1:3" x14ac:dyDescent="0.25">
      <c r="A1" t="s">
        <v>144</v>
      </c>
      <c r="B1" t="s">
        <v>145</v>
      </c>
      <c r="C1" t="s">
        <v>146</v>
      </c>
    </row>
    <row r="2" spans="1:3" x14ac:dyDescent="0.25">
      <c r="A2" t="s">
        <v>157</v>
      </c>
      <c r="B2">
        <v>12462477.876085119</v>
      </c>
      <c r="C2">
        <v>1.300578642062219</v>
      </c>
    </row>
    <row r="3" spans="1:3" x14ac:dyDescent="0.25">
      <c r="A3" t="s">
        <v>158</v>
      </c>
      <c r="B3">
        <v>287595.64329427207</v>
      </c>
      <c r="C3">
        <v>3.0013353278358901E-2</v>
      </c>
    </row>
    <row r="4" spans="1:3" x14ac:dyDescent="0.25">
      <c r="A4" t="s">
        <v>159</v>
      </c>
      <c r="B4">
        <v>450932.71294682089</v>
      </c>
      <c r="C4">
        <v>4.7059137139270048E-2</v>
      </c>
    </row>
    <row r="5" spans="1:3" x14ac:dyDescent="0.25">
      <c r="A5" t="s">
        <v>160</v>
      </c>
      <c r="B5">
        <v>0</v>
      </c>
      <c r="C5">
        <v>0</v>
      </c>
    </row>
    <row r="6" spans="1:3" x14ac:dyDescent="0.25">
      <c r="A6" t="s">
        <v>161</v>
      </c>
      <c r="B6">
        <v>450932.71294682089</v>
      </c>
      <c r="C6">
        <v>4.7059137139270048E-2</v>
      </c>
    </row>
    <row r="7" spans="1:3" x14ac:dyDescent="0.25">
      <c r="A7" t="s">
        <v>162</v>
      </c>
      <c r="B7">
        <v>5719999.9999999944</v>
      </c>
      <c r="C7">
        <v>0.59693665309300581</v>
      </c>
    </row>
    <row r="8" spans="1:3" x14ac:dyDescent="0.25">
      <c r="A8" t="s">
        <v>163</v>
      </c>
      <c r="B8">
        <v>149999.99999999991</v>
      </c>
      <c r="C8">
        <v>1.5653933210480919E-2</v>
      </c>
    </row>
    <row r="9" spans="1:3" x14ac:dyDescent="0.25">
      <c r="A9" t="s">
        <v>164</v>
      </c>
      <c r="B9">
        <v>41825760.38729953</v>
      </c>
      <c r="C9">
        <v>4.3649177305357743</v>
      </c>
    </row>
    <row r="10" spans="1:3" x14ac:dyDescent="0.25">
      <c r="A10" t="s">
        <v>165</v>
      </c>
      <c r="B10">
        <v>0</v>
      </c>
      <c r="C10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0"/>
  <sheetViews>
    <sheetView workbookViewId="0"/>
  </sheetViews>
  <sheetFormatPr baseColWidth="10" defaultColWidth="9.140625" defaultRowHeight="15" x14ac:dyDescent="0.25"/>
  <sheetData>
    <row r="1" spans="1:3" x14ac:dyDescent="0.25">
      <c r="A1" t="s">
        <v>54</v>
      </c>
      <c r="B1" t="s">
        <v>55</v>
      </c>
      <c r="C1" t="s">
        <v>166</v>
      </c>
    </row>
    <row r="2" spans="1:3" x14ac:dyDescent="0.25">
      <c r="A2" t="s">
        <v>157</v>
      </c>
      <c r="B2">
        <v>130000000</v>
      </c>
      <c r="C2" t="s">
        <v>167</v>
      </c>
    </row>
    <row r="3" spans="1:3" x14ac:dyDescent="0.25">
      <c r="A3" t="s">
        <v>158</v>
      </c>
      <c r="B3">
        <v>3000000</v>
      </c>
      <c r="C3" t="s">
        <v>167</v>
      </c>
    </row>
    <row r="4" spans="1:3" x14ac:dyDescent="0.25">
      <c r="A4" t="s">
        <v>159</v>
      </c>
      <c r="B4">
        <v>4703820</v>
      </c>
      <c r="C4" t="s">
        <v>167</v>
      </c>
    </row>
    <row r="5" spans="1:3" x14ac:dyDescent="0.25">
      <c r="A5" t="s">
        <v>160</v>
      </c>
      <c r="B5">
        <v>0</v>
      </c>
      <c r="C5" t="s">
        <v>167</v>
      </c>
    </row>
    <row r="6" spans="1:3" x14ac:dyDescent="0.25">
      <c r="A6" t="s">
        <v>168</v>
      </c>
      <c r="B6">
        <v>137703820</v>
      </c>
      <c r="C6" t="s">
        <v>167</v>
      </c>
    </row>
    <row r="7" spans="1:3" x14ac:dyDescent="0.25">
      <c r="A7" t="s">
        <v>169</v>
      </c>
      <c r="B7">
        <v>20000000</v>
      </c>
      <c r="C7" t="s">
        <v>167</v>
      </c>
    </row>
    <row r="8" spans="1:3" x14ac:dyDescent="0.25">
      <c r="A8" t="s">
        <v>170</v>
      </c>
      <c r="B8">
        <v>0</v>
      </c>
      <c r="C8" t="s">
        <v>167</v>
      </c>
    </row>
    <row r="9" spans="1:3" x14ac:dyDescent="0.25">
      <c r="A9" t="s">
        <v>162</v>
      </c>
      <c r="B9">
        <v>5720000</v>
      </c>
      <c r="C9" t="s">
        <v>171</v>
      </c>
    </row>
    <row r="10" spans="1:3" x14ac:dyDescent="0.25">
      <c r="A10" t="s">
        <v>163</v>
      </c>
      <c r="B10">
        <v>150000</v>
      </c>
      <c r="C10" t="s">
        <v>171</v>
      </c>
    </row>
    <row r="11" spans="1:3" x14ac:dyDescent="0.25">
      <c r="A11" t="s">
        <v>172</v>
      </c>
      <c r="B11">
        <v>53.89553428394602</v>
      </c>
      <c r="C11" t="s">
        <v>173</v>
      </c>
    </row>
    <row r="12" spans="1:3" x14ac:dyDescent="0.25">
      <c r="A12" t="s">
        <v>174</v>
      </c>
      <c r="B12">
        <v>0.01</v>
      </c>
      <c r="C12" t="s">
        <v>175</v>
      </c>
    </row>
    <row r="13" spans="1:3" x14ac:dyDescent="0.25">
      <c r="A13" t="s">
        <v>176</v>
      </c>
      <c r="B13">
        <v>0.2</v>
      </c>
      <c r="C13" t="s">
        <v>175</v>
      </c>
    </row>
    <row r="14" spans="1:3" x14ac:dyDescent="0.25">
      <c r="A14" t="s">
        <v>177</v>
      </c>
      <c r="B14">
        <v>0.12</v>
      </c>
      <c r="C14" t="s">
        <v>175</v>
      </c>
    </row>
    <row r="15" spans="1:3" x14ac:dyDescent="0.25">
      <c r="A15" t="s">
        <v>178</v>
      </c>
      <c r="B15">
        <v>0.06</v>
      </c>
      <c r="C15" t="s">
        <v>175</v>
      </c>
    </row>
    <row r="16" spans="1:3" x14ac:dyDescent="0.25">
      <c r="A16" t="s">
        <v>179</v>
      </c>
      <c r="B16">
        <v>7.2000000000000008E-2</v>
      </c>
      <c r="C16" t="s">
        <v>175</v>
      </c>
    </row>
    <row r="17" spans="1:3" x14ac:dyDescent="0.25">
      <c r="A17" t="s">
        <v>180</v>
      </c>
      <c r="B17">
        <v>6</v>
      </c>
      <c r="C17" t="s">
        <v>181</v>
      </c>
    </row>
    <row r="18" spans="1:3" x14ac:dyDescent="0.25">
      <c r="A18" t="s">
        <v>182</v>
      </c>
      <c r="B18">
        <v>10</v>
      </c>
      <c r="C18" t="s">
        <v>183</v>
      </c>
    </row>
    <row r="19" spans="1:3" x14ac:dyDescent="0.25">
      <c r="A19" t="s">
        <v>184</v>
      </c>
      <c r="B19">
        <v>13</v>
      </c>
      <c r="C19" t="s">
        <v>183</v>
      </c>
    </row>
    <row r="20" spans="1:3" x14ac:dyDescent="0.25">
      <c r="A20" t="s">
        <v>185</v>
      </c>
      <c r="B20">
        <v>20</v>
      </c>
      <c r="C20" t="s">
        <v>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workbookViewId="0"/>
  </sheetViews>
  <sheetFormatPr baseColWidth="10" defaultColWidth="9.140625" defaultRowHeight="15" x14ac:dyDescent="0.25"/>
  <sheetData>
    <row r="1" spans="1:3" x14ac:dyDescent="0.25">
      <c r="A1" t="s">
        <v>186</v>
      </c>
      <c r="B1" t="s">
        <v>55</v>
      </c>
      <c r="C1" t="s">
        <v>166</v>
      </c>
    </row>
    <row r="2" spans="1:3" x14ac:dyDescent="0.25">
      <c r="A2" t="s">
        <v>187</v>
      </c>
      <c r="B2">
        <v>6.4549927448576874</v>
      </c>
      <c r="C2" t="s">
        <v>181</v>
      </c>
    </row>
    <row r="3" spans="1:3" x14ac:dyDescent="0.25">
      <c r="A3" t="s">
        <v>188</v>
      </c>
      <c r="B3">
        <v>6.4549927448576874</v>
      </c>
      <c r="C3" t="s">
        <v>181</v>
      </c>
    </row>
    <row r="4" spans="1:3" x14ac:dyDescent="0.25">
      <c r="A4" t="s">
        <v>189</v>
      </c>
      <c r="B4">
        <v>6.4549927448576874</v>
      </c>
      <c r="C4" t="s">
        <v>181</v>
      </c>
    </row>
    <row r="5" spans="1:3" x14ac:dyDescent="0.25">
      <c r="A5" t="s">
        <v>179</v>
      </c>
      <c r="B5">
        <v>7.2000000000000008E-2</v>
      </c>
      <c r="C5" t="s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Results</vt:lpstr>
      <vt:lpstr>Parameters</vt:lpstr>
      <vt:lpstr>LCOH_Jahresuebersicht</vt:lpstr>
      <vt:lpstr>LCOH_Jahreskosten</vt:lpstr>
      <vt:lpstr>LCOH_Kosten_Ely_BESS</vt:lpstr>
      <vt:lpstr>LCOH_Inputs</vt:lpstr>
      <vt:lpstr>LCOH_Ergebnis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Wiebke Günther</cp:lastModifiedBy>
  <dcterms:created xsi:type="dcterms:W3CDTF">2026-09-06T19:51:12Z</dcterms:created>
  <dcterms:modified xsi:type="dcterms:W3CDTF">2026-09-07T08:23:09Z</dcterms:modified>
</cp:coreProperties>
</file>